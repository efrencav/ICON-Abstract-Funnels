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Gap Calculator" sheetId="1" state="visible" r:id="rId3"/>
    <sheet name="Benchmarks &amp;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<sst xmlns="http://schemas.openxmlformats.org/spreadsheetml/2006/main" count="113" uniqueCount="112">
  <si>
    <t xml:space="preserve">REVENUE GAP CALCULATOR</t>
  </si>
  <si>
    <t xml:space="preserve">Abstract Creative  |  Estimate how much revenue you're losing to positioning gaps, long sales cycles, and low close rates.</t>
  </si>
  <si>
    <t xml:space="preserve">Enter your numbers in the BLUE cells. All other cells calculate automatically.</t>
  </si>
  <si>
    <t xml:space="preserve">  SECTION 1 — YOUR CURRENT BUSINESS BASELINE</t>
  </si>
  <si>
    <t xml:space="preserve">Enter your current numbers. These are your starting benchmarks.</t>
  </si>
  <si>
    <t xml:space="preserve">Monthly leads (inbound + outbound)</t>
  </si>
  <si>
    <t xml:space="preserve">Total new prospects per month</t>
  </si>
  <si>
    <t xml:space="preserve">Current close rate</t>
  </si>
  <si>
    <t xml:space="preserve">% of leads that become clients</t>
  </si>
  <si>
    <t xml:space="preserve">Average project value ($)</t>
  </si>
  <si>
    <t xml:space="preserve">Average revenue per client engagement</t>
  </si>
  <si>
    <t xml:space="preserve">Average sales cycle (days)</t>
  </si>
  <si>
    <t xml:space="preserve">Days from first contact to signed contract</t>
  </si>
  <si>
    <t xml:space="preserve">Number of proposals sent per month</t>
  </si>
  <si>
    <t xml:space="preserve">Proposals or quotes sent monthly</t>
  </si>
  <si>
    <t xml:space="preserve">Annual revenue target ($)</t>
  </si>
  <si>
    <t xml:space="preserve">Your goal for the next 12 months</t>
  </si>
  <si>
    <t xml:space="preserve">  CURRENT MONTHLY REVENUE (calculated)</t>
  </si>
  <si>
    <t xml:space="preserve">Current monthly clients closed</t>
  </si>
  <si>
    <t xml:space="preserve">Current monthly revenue</t>
  </si>
  <si>
    <t xml:space="preserve">Current projected annual revenue</t>
  </si>
  <si>
    <t xml:space="preserve">  SECTION 2 — POSITIONING GAP  (How much are you losing to unclear brand?)</t>
  </si>
  <si>
    <t xml:space="preserve">Unclear positioning causes prospects to self-select out before you even talk to them.</t>
  </si>
  <si>
    <t xml:space="preserve">Estimated % of leads lost due to unclear positioning</t>
  </si>
  <si>
    <t xml:space="preserve">Industry avg: 25–40% of leads disengage due to messaging confusion</t>
  </si>
  <si>
    <t xml:space="preserve">Leads lost to positioning gaps (monthly)</t>
  </si>
  <si>
    <t xml:space="preserve">Revenue lost to positioning gaps (monthly)</t>
  </si>
  <si>
    <t xml:space="preserve">Revenue lost to positioning gaps (annually)</t>
  </si>
  <si>
    <t xml:space="preserve">  SECTION 3 — CLOSE RATE GAP  (What better positioning does to your win rate)</t>
  </si>
  <si>
    <t xml:space="preserve">A clearer brand position creates confidence in buyers and reduces the need to sell hard.</t>
  </si>
  <si>
    <t xml:space="preserve">Realistic improved close rate after brand clarity</t>
  </si>
  <si>
    <t xml:space="preserve">Industry avg improvement: 8–15 percentage points with clear positioning</t>
  </si>
  <si>
    <t xml:space="preserve">Additional clients closed per month</t>
  </si>
  <si>
    <t xml:space="preserve">Additional monthly revenue from improved close rate</t>
  </si>
  <si>
    <t xml:space="preserve">Additional annual revenue from improved close rate</t>
  </si>
  <si>
    <t xml:space="preserve">  SECTION 4 — SALES CYCLE GAP  (What faster decisions are worth)</t>
  </si>
  <si>
    <t xml:space="preserve">Every day shaved off your sales cycle accelerates cash flow and frees capacity for new business.</t>
  </si>
  <si>
    <t xml:space="preserve">Realistic improved sales cycle (days)</t>
  </si>
  <si>
    <t xml:space="preserve">Typical improvement: 30–50% reduction with clear brand narrative</t>
  </si>
  <si>
    <t xml:space="preserve">Days saved per deal</t>
  </si>
  <si>
    <t xml:space="preserve">Additional deal cycles possible per year</t>
  </si>
  <si>
    <t xml:space="preserve">Additional annual revenue from faster sales cycle</t>
  </si>
  <si>
    <t xml:space="preserve">  SECTION 5 — PROPOSAL CONVERSION GAP  (Revenue sitting in your pipeline)</t>
  </si>
  <si>
    <t xml:space="preserve">How many proposals die because the prospect wasn't confident enough in your brand to say yes?</t>
  </si>
  <si>
    <t xml:space="preserve">Current proposal win rate</t>
  </si>
  <si>
    <t xml:space="preserve">% of proposals that result in a signed contract</t>
  </si>
  <si>
    <t xml:space="preserve">Realistic improved proposal win rate</t>
  </si>
  <si>
    <t xml:space="preserve">Typical improvement: 10–20 pts with stronger brand credibility</t>
  </si>
  <si>
    <t xml:space="preserve">Additional proposals won per month</t>
  </si>
  <si>
    <t xml:space="preserve">Additional monthly revenue from proposal improvement</t>
  </si>
  <si>
    <t xml:space="preserve">Additional annual revenue from proposal improvement</t>
  </si>
  <si>
    <t xml:space="preserve">  SECTION 6 — YOUR TOTAL REVENUE GAP SUMMARY</t>
  </si>
  <si>
    <t xml:space="preserve">This is the estimated annual revenue impact of closing your brand and positioning gaps.</t>
  </si>
  <si>
    <t xml:space="preserve">Revenue lost to positioning gaps (annual)</t>
  </si>
  <si>
    <t xml:space="preserve">Revenue opportunity — improved close rate (annual)</t>
  </si>
  <si>
    <t xml:space="preserve">Revenue opportunity — faster sales cycle (annual)</t>
  </si>
  <si>
    <t xml:space="preserve">Revenue opportunity — improved proposals (annual)</t>
  </si>
  <si>
    <t xml:space="preserve">TOTAL ANNUAL REVENUE GAP</t>
  </si>
  <si>
    <t xml:space="preserve">  SECTION 7 — ARE YOU ON TRACK TO HIT YOUR REVENUE TARGET?</t>
  </si>
  <si>
    <t xml:space="preserve">Revenue target</t>
  </si>
  <si>
    <t xml:space="preserve">Gap to target</t>
  </si>
  <si>
    <t xml:space="preserve">Can brand transformation close the gap?</t>
  </si>
  <si>
    <t xml:space="preserve">  HOW TO READ THIS CALCULATOR</t>
  </si>
  <si>
    <t xml:space="preserve">  Blue cells = Your inputs. Change these to match your business.</t>
  </si>
  <si>
    <t xml:space="preserve">  Black cells = Calculated automatically. Do not edit.</t>
  </si>
  <si>
    <t xml:space="preserve">  Red = Revenue being lost right now.</t>
  </si>
  <si>
    <t xml:space="preserve">  Green = Revenue opportunity available with brand clarity.</t>
  </si>
  <si>
    <t xml:space="preserve">  Ready to close your revenue gap?  Book a free Strategy Fit Call at abstract-creative.com  |  efren@abstract-creative.com  |  832.370.7322</t>
  </si>
  <si>
    <t xml:space="preserve">BENCHMARKS &amp; ASSUMPTIONS GUIDE</t>
  </si>
  <si>
    <t xml:space="preserve">Use these industry benchmarks to calibrate your inputs in the Revenue Gap Calculator.</t>
  </si>
  <si>
    <t xml:space="preserve">  INDUSTRY BENCHMARKS — Professional Services &amp; B2B</t>
  </si>
  <si>
    <t xml:space="preserve">METRIC</t>
  </si>
  <si>
    <t xml:space="preserve">WITHOUT BRAND CLARITY</t>
  </si>
  <si>
    <t xml:space="preserve">WITH BRAND CLARITY</t>
  </si>
  <si>
    <t xml:space="preserve">SOURCE / NOTES</t>
  </si>
  <si>
    <t xml:space="preserve">Close rate</t>
  </si>
  <si>
    <t xml:space="preserve">15–25%</t>
  </si>
  <si>
    <t xml:space="preserve">28–40%</t>
  </si>
  <si>
    <t xml:space="preserve">B2B professional services avg</t>
  </si>
  <si>
    <t xml:space="preserve">Sales cycle</t>
  </si>
  <si>
    <t xml:space="preserve">45–90 days</t>
  </si>
  <si>
    <t xml:space="preserve">25–45 days</t>
  </si>
  <si>
    <t xml:space="preserve">Shorter when brand does pre-selling</t>
  </si>
  <si>
    <t xml:space="preserve">Proposal win rate</t>
  </si>
  <si>
    <t xml:space="preserve">30–45%</t>
  </si>
  <si>
    <t xml:space="preserve">50–65%</t>
  </si>
  <si>
    <t xml:space="preserve">Strong positioning reduces objections</t>
  </si>
  <si>
    <t xml:space="preserve">Lead-to-meeting conversion</t>
  </si>
  <si>
    <t xml:space="preserve">10–20%</t>
  </si>
  <si>
    <t xml:space="preserve">25–40%</t>
  </si>
  <si>
    <t xml:space="preserve">Clear messaging improves response rate</t>
  </si>
  <si>
    <t xml:space="preserve">Referral rate</t>
  </si>
  <si>
    <t xml:space="preserve">20–30% of revenue</t>
  </si>
  <si>
    <t xml:space="preserve">40–60% of revenue</t>
  </si>
  <si>
    <t xml:space="preserve">Brand clarity makes you referable</t>
  </si>
  <si>
    <t xml:space="preserve">Average project value</t>
  </si>
  <si>
    <t xml:space="preserve">Baseline</t>
  </si>
  <si>
    <t xml:space="preserve">+15–30% premium</t>
  </si>
  <si>
    <t xml:space="preserve">Premium positioning commands higher fees</t>
  </si>
  <si>
    <t xml:space="preserve">Positioning loss (leads)</t>
  </si>
  <si>
    <t xml:space="preserve">25–40% disengage early</t>
  </si>
  <si>
    <t xml:space="preserve">5–15% disengage early</t>
  </si>
  <si>
    <t xml:space="preserve">Unclear brands lose prospects silently</t>
  </si>
  <si>
    <t xml:space="preserve">  WHAT COUNTS AS A 'POSITIONING GAP'?</t>
  </si>
  <si>
    <t xml:space="preserve">  •  Your team describes what you do differently depending on who is talking.</t>
  </si>
  <si>
    <t xml:space="preserve">  •  Prospects ask 'how are you different from [competitor]?' and the answer varies.</t>
  </si>
  <si>
    <t xml:space="preserve">  •  You win most deals through relationships but struggle to close cold leads.</t>
  </si>
  <si>
    <t xml:space="preserve">  •  Your best clients can't refer you easily because they can't explain what you do.</t>
  </si>
  <si>
    <t xml:space="preserve">  •  Your proposals are strong but you still lose on 'fit' or 'culture'.</t>
  </si>
  <si>
    <t xml:space="preserve">  •  Your marketing produces activity but not qualified leads.</t>
  </si>
  <si>
    <t xml:space="preserve">  •  You compete on price more than you'd like.</t>
  </si>
  <si>
    <t xml:space="preserve">  Ready to close your revenue gap?  abstract-creative.com  |  efren@abstract-creative.com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</si>
</sst>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\$#,##0"/>
    <numFmt numFmtId="168" formatCode="0.0"/>
    <numFmt numFmtId="169" formatCode="@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E05C1B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E05C1B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62828"/>
      <name val="Arial"/>
      <family val="0"/>
      <charset val="1"/>
    </font>
    <font>
      <sz val="9"/>
      <color rgb="FF2E7D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9"/>
      <color rgb="FF1A1A1A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05C1B"/>
        <bgColor rgb="FFC62828"/>
      </patternFill>
    </fill>
    <fill>
      <patternFill patternType="solid">
        <fgColor rgb="FF1B7E8C"/>
        <bgColor rgb="FF008080"/>
      </patternFill>
    </fill>
    <fill>
      <patternFill patternType="solid">
        <fgColor rgb="FFEBF7F8"/>
        <bgColor rgb="FFEBF5FB"/>
      </patternFill>
    </fill>
    <fill>
      <patternFill patternType="solid">
        <fgColor rgb="FFFFFFFF"/>
        <bgColor rgb="FFFFF3EE"/>
      </patternFill>
    </fill>
    <fill>
      <patternFill patternType="solid">
        <fgColor rgb="FFEBF5FB"/>
        <bgColor rgb="FFEBF7F8"/>
      </patternFill>
    </fill>
    <fill>
      <patternFill patternType="solid">
        <fgColor rgb="FFF4F4F4"/>
        <bgColor rgb="FFEBF5FB"/>
      </patternFill>
    </fill>
    <fill>
      <patternFill patternType="solid">
        <fgColor rgb="FFFFF3EE"/>
        <bgColor rgb="FFFFEBEE"/>
      </patternFill>
    </fill>
    <fill>
      <patternFill patternType="solid">
        <fgColor rgb="FFC62828"/>
        <bgColor rgb="FF993366"/>
      </patternFill>
    </fill>
    <fill>
      <patternFill patternType="solid">
        <fgColor rgb="FFFFEBEE"/>
        <bgColor rgb="FFFFF3EE"/>
      </patternFill>
    </fill>
    <fill>
      <patternFill patternType="solid">
        <fgColor rgb="FFE8F5E9"/>
        <bgColor rgb="FFEBF7F8"/>
      </patternFill>
    </fill>
    <fill>
      <patternFill patternType="solid">
        <fgColor rgb="FF888888"/>
        <bgColor rgb="FF66669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1B7E8C"/>
      </left>
      <right style="medium">
        <color rgb="FF1B7E8C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medium">
        <color rgb="FFE05C1B"/>
      </bottom>
      <diagonal/>
    </border>
    <border diagonalUp="false" diagonalDown="false">
      <left style="medium">
        <color rgb="FFE05C1B"/>
      </left>
      <right/>
      <top style="medium">
        <color rgb="FFE05C1B"/>
      </top>
      <bottom style="medium">
        <color rgb="FFE05C1B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E8C"/>
      <rgbColor rgb="FFC0C0C0"/>
      <rgbColor rgb="FF888888"/>
      <rgbColor rgb="FF9999FF"/>
      <rgbColor rgb="FF993366"/>
      <rgbColor rgb="FFFFF3EE"/>
      <rgbColor rgb="FFEBF7F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4F4F4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E05C1B"/>
      <rgbColor rgb="FF666699"/>
      <rgbColor rgb="FFAAAAAA"/>
      <rgbColor rgb="FF003366"/>
      <rgbColor rgb="FF2E7D32"/>
      <rgbColor rgb="FF003300"/>
      <rgbColor rgb="FF333300"/>
      <rgbColor rgb="FFC62828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2"/>
    <col collapsed="false" customWidth="true" hidden="false" outlineLevel="0" max="4" min="4" style="1" width="18"/>
    <col collapsed="false" customWidth="true" hidden="false" outlineLevel="0" max="5" min="5" style="1" width="32"/>
    <col collapsed="false" customWidth="true" hidden="false" outlineLevel="0" max="6" min="6" style="1" width="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</row>
    <row r="3" customFormat="false" ht="19.5" hidden="false" customHeight="true" outlineLevel="0" collapsed="false">
      <c r="B3" s="3" t="s">
        <v>1</v>
      </c>
      <c r="C3" s="3"/>
      <c r="D3" s="3"/>
      <c r="E3" s="3"/>
    </row>
    <row r="4" customFormat="false" ht="18" hidden="false" customHeight="true" outlineLevel="0" collapsed="false">
      <c r="B4" s="4" t="s">
        <v>2</v>
      </c>
      <c r="C4" s="4"/>
      <c r="D4" s="4"/>
      <c r="E4" s="4"/>
    </row>
    <row r="5" customFormat="false" ht="3.75" hidden="false" customHeight="true" outlineLevel="0" collapsed="false">
      <c r="B5" s="5"/>
      <c r="C5" s="5"/>
      <c r="D5" s="5"/>
      <c r="E5" s="5"/>
    </row>
    <row r="7" customFormat="false" ht="19.5" hidden="false" customHeight="true" outlineLevel="0" collapsed="false">
      <c r="B7" s="6" t="s">
        <v>3</v>
      </c>
      <c r="C7" s="6"/>
      <c r="D7" s="6"/>
      <c r="E7" s="6"/>
    </row>
    <row r="8" customFormat="false" ht="15.75" hidden="false" customHeight="true" outlineLevel="0" collapsed="false">
      <c r="B8" s="7" t="s">
        <v>4</v>
      </c>
      <c r="C8" s="7"/>
      <c r="D8" s="7"/>
      <c r="E8" s="7"/>
    </row>
    <row r="9" customFormat="false" ht="15" hidden="false" customHeight="true" outlineLevel="0" collapsed="false">
      <c r="B9" s="8" t="s">
        <v>5</v>
      </c>
      <c r="D9" s="9" t="n">
        <v>20</v>
      </c>
      <c r="E9" s="10" t="s">
        <v>6</v>
      </c>
    </row>
    <row r="10" customFormat="false" ht="15" hidden="false" customHeight="true" outlineLevel="0" collapsed="false">
      <c r="B10" s="8" t="s">
        <v>7</v>
      </c>
      <c r="D10" s="11" t="n">
        <v>0.2</v>
      </c>
      <c r="E10" s="10" t="s">
        <v>8</v>
      </c>
    </row>
    <row r="11" customFormat="false" ht="15" hidden="false" customHeight="true" outlineLevel="0" collapsed="false">
      <c r="B11" s="8" t="s">
        <v>9</v>
      </c>
      <c r="D11" s="12" t="n">
        <v>15000</v>
      </c>
      <c r="E11" s="10" t="s">
        <v>10</v>
      </c>
    </row>
    <row r="12" customFormat="false" ht="15" hidden="false" customHeight="true" outlineLevel="0" collapsed="false">
      <c r="B12" s="8" t="s">
        <v>11</v>
      </c>
      <c r="D12" s="9" t="n">
        <v>45</v>
      </c>
      <c r="E12" s="10" t="s">
        <v>12</v>
      </c>
    </row>
    <row r="13" customFormat="false" ht="15" hidden="false" customHeight="true" outlineLevel="0" collapsed="false">
      <c r="B13" s="8" t="s">
        <v>13</v>
      </c>
      <c r="D13" s="9" t="n">
        <v>8</v>
      </c>
      <c r="E13" s="10" t="s">
        <v>14</v>
      </c>
    </row>
    <row r="14" customFormat="false" ht="15" hidden="false" customHeight="true" outlineLevel="0" collapsed="false">
      <c r="B14" s="8" t="s">
        <v>15</v>
      </c>
      <c r="D14" s="12" t="n">
        <v>500000</v>
      </c>
      <c r="E14" s="10" t="s">
        <v>16</v>
      </c>
    </row>
    <row r="15" customFormat="false" ht="7.5" hidden="false" customHeight="true" outlineLevel="0" collapsed="false"/>
    <row r="16" customFormat="false" ht="19.5" hidden="false" customHeight="true" outlineLevel="0" collapsed="false">
      <c r="B16" s="13" t="s">
        <v>17</v>
      </c>
      <c r="C16" s="13"/>
      <c r="D16" s="13"/>
      <c r="E16" s="13"/>
    </row>
    <row r="17" customFormat="false" ht="15" hidden="false" customHeight="true" outlineLevel="0" collapsed="false">
      <c r="B17" s="14" t="s">
        <v>18</v>
      </c>
      <c r="D17" s="15" t="n">
        <f aca="false">D9*D10</f>
        <v>4</v>
      </c>
      <c r="E17" s="15"/>
    </row>
    <row r="18" customFormat="false" ht="15" hidden="false" customHeight="true" outlineLevel="0" collapsed="false">
      <c r="B18" s="14" t="s">
        <v>19</v>
      </c>
      <c r="D18" s="16" t="n">
        <f aca="false">D11*D17</f>
        <v>60000</v>
      </c>
      <c r="E18" s="16"/>
    </row>
    <row r="19" customFormat="false" ht="15" hidden="false" customHeight="true" outlineLevel="0" collapsed="false">
      <c r="B19" s="14" t="s">
        <v>20</v>
      </c>
      <c r="D19" s="16" t="n">
        <f aca="false">D18*12</f>
        <v>720000</v>
      </c>
      <c r="E19" s="16"/>
    </row>
    <row r="21" customFormat="false" ht="19.5" hidden="false" customHeight="true" outlineLevel="0" collapsed="false">
      <c r="B21" s="17" t="s">
        <v>21</v>
      </c>
      <c r="C21" s="17"/>
      <c r="D21" s="17"/>
      <c r="E21" s="17"/>
    </row>
    <row r="22" customFormat="false" ht="15.75" hidden="false" customHeight="true" outlineLevel="0" collapsed="false">
      <c r="B22" s="18" t="s">
        <v>22</v>
      </c>
      <c r="C22" s="18"/>
      <c r="D22" s="18"/>
      <c r="E22" s="18"/>
    </row>
    <row r="23" customFormat="false" ht="23.25" hidden="false" customHeight="true" outlineLevel="0" collapsed="false">
      <c r="B23" s="8" t="s">
        <v>23</v>
      </c>
      <c r="D23" s="11" t="n">
        <v>0.3</v>
      </c>
      <c r="E23" s="10" t="s">
        <v>24</v>
      </c>
    </row>
    <row r="24" customFormat="false" ht="15" hidden="false" customHeight="true" outlineLevel="0" collapsed="false">
      <c r="B24" s="19" t="s">
        <v>25</v>
      </c>
      <c r="D24" s="20" t="n">
        <f aca="false">D9*D23</f>
        <v>6</v>
      </c>
      <c r="E24" s="20"/>
    </row>
    <row r="25" customFormat="false" ht="15" hidden="false" customHeight="true" outlineLevel="0" collapsed="false">
      <c r="B25" s="19" t="s">
        <v>26</v>
      </c>
      <c r="D25" s="21" t="n">
        <f aca="false">D11*D10*D9*D23</f>
        <v>18000</v>
      </c>
      <c r="E25" s="21"/>
    </row>
    <row r="26" customFormat="false" ht="15" hidden="false" customHeight="true" outlineLevel="0" collapsed="false">
      <c r="B26" s="19" t="s">
        <v>27</v>
      </c>
      <c r="D26" s="21" t="n">
        <f aca="false">D25*12</f>
        <v>216000</v>
      </c>
      <c r="E26" s="21"/>
    </row>
    <row r="28" customFormat="false" ht="19.5" hidden="false" customHeight="true" outlineLevel="0" collapsed="false">
      <c r="B28" s="6" t="s">
        <v>28</v>
      </c>
      <c r="C28" s="6"/>
      <c r="D28" s="6"/>
      <c r="E28" s="6"/>
    </row>
    <row r="29" customFormat="false" ht="15.75" hidden="false" customHeight="true" outlineLevel="0" collapsed="false">
      <c r="B29" s="7" t="s">
        <v>29</v>
      </c>
      <c r="C29" s="7"/>
      <c r="D29" s="7"/>
      <c r="E29" s="7"/>
    </row>
    <row r="30" customFormat="false" ht="23.25" hidden="false" customHeight="true" outlineLevel="0" collapsed="false">
      <c r="B30" s="8" t="s">
        <v>30</v>
      </c>
      <c r="D30" s="11" t="n">
        <v>0.32</v>
      </c>
      <c r="E30" s="10" t="s">
        <v>31</v>
      </c>
    </row>
    <row r="31" customFormat="false" ht="15" hidden="false" customHeight="true" outlineLevel="0" collapsed="false">
      <c r="B31" s="22" t="s">
        <v>32</v>
      </c>
      <c r="D31" s="23" t="n">
        <f aca="false">(D30-D10)*D9</f>
        <v>2.4</v>
      </c>
      <c r="E31" s="23"/>
    </row>
    <row r="32" customFormat="false" ht="23.25" hidden="false" customHeight="true" outlineLevel="0" collapsed="false">
      <c r="B32" s="22" t="s">
        <v>33</v>
      </c>
      <c r="D32" s="24" t="n">
        <f aca="false">D11*(D30-D10)*D9</f>
        <v>36000</v>
      </c>
      <c r="E32" s="24"/>
    </row>
    <row r="33" customFormat="false" ht="23.25" hidden="false" customHeight="true" outlineLevel="0" collapsed="false">
      <c r="B33" s="22" t="s">
        <v>34</v>
      </c>
      <c r="D33" s="24" t="n">
        <f aca="false">D32*12</f>
        <v>432000</v>
      </c>
      <c r="E33" s="24"/>
    </row>
    <row r="35" customFormat="false" ht="19.5" hidden="false" customHeight="true" outlineLevel="0" collapsed="false">
      <c r="B35" s="13" t="s">
        <v>35</v>
      </c>
      <c r="C35" s="13"/>
      <c r="D35" s="13"/>
      <c r="E35" s="13"/>
    </row>
    <row r="36" customFormat="false" ht="15.75" hidden="false" customHeight="true" outlineLevel="0" collapsed="false">
      <c r="B36" s="25" t="s">
        <v>36</v>
      </c>
      <c r="C36" s="25"/>
      <c r="D36" s="25"/>
      <c r="E36" s="25"/>
    </row>
    <row r="37" customFormat="false" ht="21.75" hidden="false" customHeight="true" outlineLevel="0" collapsed="false">
      <c r="B37" s="8" t="s">
        <v>37</v>
      </c>
      <c r="D37" s="9" t="n">
        <v>30</v>
      </c>
      <c r="E37" s="10" t="s">
        <v>38</v>
      </c>
    </row>
    <row r="38" customFormat="false" ht="15" hidden="false" customHeight="true" outlineLevel="0" collapsed="false">
      <c r="B38" s="14" t="s">
        <v>39</v>
      </c>
      <c r="D38" s="26" t="n">
        <f aca="false">D12-D37</f>
        <v>15</v>
      </c>
      <c r="E38" s="26"/>
    </row>
    <row r="39" customFormat="false" ht="15" hidden="false" customHeight="true" outlineLevel="0" collapsed="false">
      <c r="B39" s="14" t="s">
        <v>40</v>
      </c>
      <c r="D39" s="15" t="n">
        <f aca="false">IF(D37&gt;0, ROUND((365/D37)-(365/D12),1), 0)</f>
        <v>4.1</v>
      </c>
      <c r="E39" s="15"/>
    </row>
    <row r="40" customFormat="false" ht="23.25" hidden="false" customHeight="true" outlineLevel="0" collapsed="false">
      <c r="B40" s="14" t="s">
        <v>41</v>
      </c>
      <c r="D40" s="27" t="n">
        <f aca="false">D39*D11*D10*D9/12</f>
        <v>20500</v>
      </c>
      <c r="E40" s="27"/>
    </row>
    <row r="42" customFormat="false" ht="19.5" hidden="false" customHeight="true" outlineLevel="0" collapsed="false">
      <c r="B42" s="17" t="s">
        <v>42</v>
      </c>
      <c r="C42" s="17"/>
      <c r="D42" s="17"/>
      <c r="E42" s="17"/>
    </row>
    <row r="43" customFormat="false" ht="15.75" hidden="false" customHeight="true" outlineLevel="0" collapsed="false">
      <c r="B43" s="18" t="s">
        <v>43</v>
      </c>
      <c r="C43" s="18"/>
      <c r="D43" s="18"/>
      <c r="E43" s="18"/>
    </row>
    <row r="44" customFormat="false" ht="21.75" hidden="false" customHeight="true" outlineLevel="0" collapsed="false">
      <c r="B44" s="8" t="s">
        <v>44</v>
      </c>
      <c r="D44" s="11" t="n">
        <v>0.4</v>
      </c>
      <c r="E44" s="10" t="s">
        <v>45</v>
      </c>
    </row>
    <row r="45" customFormat="false" ht="21.75" hidden="false" customHeight="true" outlineLevel="0" collapsed="false">
      <c r="B45" s="8" t="s">
        <v>46</v>
      </c>
      <c r="D45" s="11" t="n">
        <v>0.55</v>
      </c>
      <c r="E45" s="10" t="s">
        <v>47</v>
      </c>
    </row>
    <row r="46" customFormat="false" ht="15" hidden="false" customHeight="true" outlineLevel="0" collapsed="false">
      <c r="B46" s="19" t="s">
        <v>48</v>
      </c>
      <c r="D46" s="20" t="n">
        <f aca="false">(D45-D44)*D13</f>
        <v>1.2</v>
      </c>
      <c r="E46" s="20"/>
    </row>
    <row r="47" customFormat="false" ht="23.25" hidden="false" customHeight="true" outlineLevel="0" collapsed="false">
      <c r="B47" s="19" t="s">
        <v>49</v>
      </c>
      <c r="D47" s="28" t="n">
        <f aca="false">D46*D11</f>
        <v>18000</v>
      </c>
      <c r="E47" s="28"/>
    </row>
    <row r="48" customFormat="false" ht="23.25" hidden="false" customHeight="true" outlineLevel="0" collapsed="false">
      <c r="B48" s="19" t="s">
        <v>50</v>
      </c>
      <c r="D48" s="28" t="n">
        <f aca="false">D47*12</f>
        <v>216000</v>
      </c>
      <c r="E48" s="28"/>
    </row>
    <row r="50" customFormat="false" ht="19.5" hidden="false" customHeight="true" outlineLevel="0" collapsed="false">
      <c r="B50" s="29" t="s">
        <v>51</v>
      </c>
      <c r="C50" s="29"/>
      <c r="D50" s="29"/>
      <c r="E50" s="29"/>
    </row>
    <row r="51" customFormat="false" ht="15.75" hidden="false" customHeight="true" outlineLevel="0" collapsed="false">
      <c r="B51" s="30" t="s">
        <v>52</v>
      </c>
      <c r="C51" s="30"/>
      <c r="D51" s="30"/>
      <c r="E51" s="30"/>
    </row>
    <row r="52" customFormat="false" ht="15" hidden="false" customHeight="true" outlineLevel="0" collapsed="false">
      <c r="B52" s="31" t="s">
        <v>53</v>
      </c>
      <c r="D52" s="32" t="n">
        <f aca="false">D26</f>
        <v>216000</v>
      </c>
      <c r="E52" s="32"/>
    </row>
    <row r="53" customFormat="false" ht="23.25" hidden="false" customHeight="true" outlineLevel="0" collapsed="false">
      <c r="B53" s="33" t="s">
        <v>54</v>
      </c>
      <c r="D53" s="34" t="n">
        <f aca="false">D33</f>
        <v>432000</v>
      </c>
      <c r="E53" s="34"/>
    </row>
    <row r="54" customFormat="false" ht="23.25" hidden="false" customHeight="true" outlineLevel="0" collapsed="false">
      <c r="B54" s="33" t="s">
        <v>55</v>
      </c>
      <c r="D54" s="34" t="n">
        <f aca="false">D40</f>
        <v>20500</v>
      </c>
      <c r="E54" s="34"/>
    </row>
    <row r="55" customFormat="false" ht="23.25" hidden="false" customHeight="true" outlineLevel="0" collapsed="false">
      <c r="B55" s="33" t="s">
        <v>56</v>
      </c>
      <c r="D55" s="34" t="n">
        <f aca="false">D48</f>
        <v>216000</v>
      </c>
      <c r="E55" s="34"/>
    </row>
    <row r="56" customFormat="false" ht="27.75" hidden="false" customHeight="true" outlineLevel="0" collapsed="false">
      <c r="B56" s="35" t="s">
        <v>57</v>
      </c>
      <c r="C56" s="35"/>
      <c r="D56" s="36" t="n">
        <f aca="false">D26+D33+D40+D48</f>
        <v>884500</v>
      </c>
      <c r="E56" s="36"/>
    </row>
    <row r="58" customFormat="false" ht="19.5" hidden="false" customHeight="true" outlineLevel="0" collapsed="false">
      <c r="B58" s="6" t="s">
        <v>58</v>
      </c>
      <c r="C58" s="6"/>
      <c r="D58" s="6"/>
      <c r="E58" s="6"/>
    </row>
    <row r="59" customFormat="false" ht="15" hidden="false" customHeight="true" outlineLevel="0" collapsed="false">
      <c r="B59" s="14" t="s">
        <v>20</v>
      </c>
      <c r="D59" s="16" t="n">
        <f aca="false">D19</f>
        <v>720000</v>
      </c>
      <c r="E59" s="16"/>
    </row>
    <row r="60" customFormat="false" ht="15" hidden="false" customHeight="true" outlineLevel="0" collapsed="false">
      <c r="B60" s="14" t="s">
        <v>59</v>
      </c>
      <c r="D60" s="16" t="n">
        <f aca="false">D14</f>
        <v>500000</v>
      </c>
      <c r="E60" s="16"/>
    </row>
    <row r="61" customFormat="false" ht="15" hidden="false" customHeight="true" outlineLevel="0" collapsed="false">
      <c r="B61" s="31" t="s">
        <v>60</v>
      </c>
      <c r="D61" s="32" t="n">
        <f aca="false">MAX(0, D14-D19)</f>
        <v>0</v>
      </c>
      <c r="E61" s="32"/>
    </row>
    <row r="62" customFormat="false" ht="15" hidden="false" customHeight="true" outlineLevel="0" collapsed="false">
      <c r="B62" s="33" t="s">
        <v>61</v>
      </c>
      <c r="D62" s="37" t="str">
        <f aca="false">IF(D61=0,"ON TRACK — current revenue meets your target",IF(D56&gt;=D61,"YES — your revenue gap exceeds the target gap","PARTIALLY — brand helps but other levers needed"))</f>
        <v>ON TRACK — current revenue meets your target</v>
      </c>
      <c r="E62" s="37"/>
    </row>
    <row r="64" customFormat="false" ht="19.5" hidden="false" customHeight="true" outlineLevel="0" collapsed="false">
      <c r="B64" s="38" t="s">
        <v>62</v>
      </c>
      <c r="C64" s="38"/>
      <c r="D64" s="38"/>
      <c r="E64" s="38"/>
    </row>
    <row r="65" customFormat="false" ht="15.75" hidden="false" customHeight="true" outlineLevel="0" collapsed="false">
      <c r="B65" s="39" t="s">
        <v>63</v>
      </c>
      <c r="C65" s="39"/>
      <c r="D65" s="39"/>
      <c r="E65" s="39"/>
    </row>
    <row r="66" customFormat="false" ht="15.75" hidden="false" customHeight="true" outlineLevel="0" collapsed="false">
      <c r="B66" s="40" t="s">
        <v>64</v>
      </c>
      <c r="C66" s="40"/>
      <c r="D66" s="40"/>
      <c r="E66" s="40"/>
    </row>
    <row r="67" customFormat="false" ht="15.75" hidden="false" customHeight="true" outlineLevel="0" collapsed="false">
      <c r="B67" s="41" t="s">
        <v>65</v>
      </c>
      <c r="C67" s="41"/>
      <c r="D67" s="41"/>
      <c r="E67" s="41"/>
    </row>
    <row r="68" customFormat="false" ht="15.75" hidden="false" customHeight="true" outlineLevel="0" collapsed="false">
      <c r="B68" s="42" t="s">
        <v>66</v>
      </c>
      <c r="C68" s="42"/>
      <c r="D68" s="42"/>
      <c r="E68" s="42"/>
    </row>
    <row r="70" customFormat="false" ht="19.5" hidden="false" customHeight="true" outlineLevel="0" collapsed="false">
      <c r="B70" s="43" t="s">
        <v>67</v>
      </c>
      <c r="C70" s="43"/>
      <c r="D70" s="43"/>
      <c r="E70" s="43"/>
    </row>
  </sheetData>
  <mergeCells count="48">
    <mergeCell ref="B2:E2"/>
    <mergeCell ref="B3:E3"/>
    <mergeCell ref="B4:E4"/>
    <mergeCell ref="B7:E7"/>
    <mergeCell ref="B8:E8"/>
    <mergeCell ref="B16:E16"/>
    <mergeCell ref="D17:E17"/>
    <mergeCell ref="D18:E18"/>
    <mergeCell ref="D19:E19"/>
    <mergeCell ref="B21:E21"/>
    <mergeCell ref="B22:E22"/>
    <mergeCell ref="D24:E24"/>
    <mergeCell ref="D25:E25"/>
    <mergeCell ref="D26:E26"/>
    <mergeCell ref="B28:E28"/>
    <mergeCell ref="B29:E29"/>
    <mergeCell ref="D31:E31"/>
    <mergeCell ref="D32:E32"/>
    <mergeCell ref="D33:E33"/>
    <mergeCell ref="B35:E35"/>
    <mergeCell ref="B36:E36"/>
    <mergeCell ref="D38:E38"/>
    <mergeCell ref="D39:E39"/>
    <mergeCell ref="D40:E40"/>
    <mergeCell ref="B42:E42"/>
    <mergeCell ref="B43:E43"/>
    <mergeCell ref="D46:E46"/>
    <mergeCell ref="D47:E47"/>
    <mergeCell ref="D48:E48"/>
    <mergeCell ref="B50:E50"/>
    <mergeCell ref="B51:E51"/>
    <mergeCell ref="D52:E52"/>
    <mergeCell ref="D53:E53"/>
    <mergeCell ref="D54:E54"/>
    <mergeCell ref="D55:E55"/>
    <mergeCell ref="B56:C56"/>
    <mergeCell ref="D56:E56"/>
    <mergeCell ref="B58:E58"/>
    <mergeCell ref="D59:E59"/>
    <mergeCell ref="D60:E60"/>
    <mergeCell ref="D61:E61"/>
    <mergeCell ref="D62:E62"/>
    <mergeCell ref="B64:E64"/>
    <mergeCell ref="B65:E65"/>
    <mergeCell ref="B66:E66"/>
    <mergeCell ref="B67:E67"/>
    <mergeCell ref="B68:E68"/>
    <mergeCell ref="B70:E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4" min="3" style="1" width="20"/>
    <col collapsed="false" customWidth="true" hidden="false" outlineLevel="0" max="5" min="5" style="1" width="30"/>
    <col collapsed="false" customWidth="true" hidden="false" outlineLevel="0" max="6" min="6" style="1" width="2"/>
  </cols>
  <sheetData>
    <row r="2" customFormat="false" ht="31.5" hidden="false" customHeight="true" outlineLevel="0" collapsed="false">
      <c r="B2" s="44" t="s">
        <v>68</v>
      </c>
      <c r="C2" s="44"/>
      <c r="D2" s="44"/>
      <c r="E2" s="44"/>
    </row>
    <row r="3" customFormat="false" ht="15" hidden="false" customHeight="true" outlineLevel="0" collapsed="false">
      <c r="B3" s="3" t="s">
        <v>69</v>
      </c>
      <c r="C3" s="3"/>
      <c r="D3" s="3"/>
      <c r="E3" s="3"/>
    </row>
    <row r="4" customFormat="false" ht="3.75" hidden="false" customHeight="true" outlineLevel="0" collapsed="false">
      <c r="B4" s="5"/>
      <c r="C4" s="5"/>
      <c r="D4" s="5"/>
      <c r="E4" s="5"/>
    </row>
    <row r="6" customFormat="false" ht="19.5" hidden="false" customHeight="true" outlineLevel="0" collapsed="false">
      <c r="B6" s="6" t="s">
        <v>70</v>
      </c>
      <c r="C6" s="6"/>
      <c r="D6" s="6"/>
      <c r="E6" s="6"/>
    </row>
    <row r="7" customFormat="false" ht="18" hidden="false" customHeight="true" outlineLevel="0" collapsed="false">
      <c r="B7" s="45" t="s">
        <v>71</v>
      </c>
      <c r="C7" s="45" t="s">
        <v>72</v>
      </c>
      <c r="D7" s="45" t="s">
        <v>73</v>
      </c>
      <c r="E7" s="45" t="s">
        <v>74</v>
      </c>
    </row>
    <row r="8" customFormat="false" ht="18" hidden="false" customHeight="true" outlineLevel="0" collapsed="false">
      <c r="B8" s="46" t="s">
        <v>75</v>
      </c>
      <c r="C8" s="46" t="s">
        <v>76</v>
      </c>
      <c r="D8" s="46" t="s">
        <v>77</v>
      </c>
      <c r="E8" s="46" t="s">
        <v>78</v>
      </c>
    </row>
    <row r="9" customFormat="false" ht="18" hidden="false" customHeight="true" outlineLevel="0" collapsed="false">
      <c r="B9" s="47" t="s">
        <v>79</v>
      </c>
      <c r="C9" s="47" t="s">
        <v>80</v>
      </c>
      <c r="D9" s="47" t="s">
        <v>81</v>
      </c>
      <c r="E9" s="47" t="s">
        <v>82</v>
      </c>
    </row>
    <row r="10" customFormat="false" ht="18" hidden="false" customHeight="true" outlineLevel="0" collapsed="false">
      <c r="B10" s="46" t="s">
        <v>83</v>
      </c>
      <c r="C10" s="46" t="s">
        <v>84</v>
      </c>
      <c r="D10" s="46" t="s">
        <v>85</v>
      </c>
      <c r="E10" s="46" t="s">
        <v>86</v>
      </c>
    </row>
    <row r="11" customFormat="false" ht="18" hidden="false" customHeight="true" outlineLevel="0" collapsed="false">
      <c r="B11" s="47" t="s">
        <v>87</v>
      </c>
      <c r="C11" s="47" t="s">
        <v>88</v>
      </c>
      <c r="D11" s="47" t="s">
        <v>89</v>
      </c>
      <c r="E11" s="47" t="s">
        <v>90</v>
      </c>
    </row>
    <row r="12" customFormat="false" ht="18" hidden="false" customHeight="true" outlineLevel="0" collapsed="false">
      <c r="B12" s="46" t="s">
        <v>91</v>
      </c>
      <c r="C12" s="46" t="s">
        <v>92</v>
      </c>
      <c r="D12" s="46" t="s">
        <v>93</v>
      </c>
      <c r="E12" s="46" t="s">
        <v>94</v>
      </c>
    </row>
    <row r="13" customFormat="false" ht="18" hidden="false" customHeight="true" outlineLevel="0" collapsed="false">
      <c r="B13" s="47" t="s">
        <v>95</v>
      </c>
      <c r="C13" s="47" t="s">
        <v>96</v>
      </c>
      <c r="D13" s="47" t="s">
        <v>97</v>
      </c>
      <c r="E13" s="47" t="s">
        <v>98</v>
      </c>
    </row>
    <row r="14" customFormat="false" ht="18" hidden="false" customHeight="true" outlineLevel="0" collapsed="false">
      <c r="B14" s="46" t="s">
        <v>99</v>
      </c>
      <c r="C14" s="46" t="s">
        <v>100</v>
      </c>
      <c r="D14" s="46" t="s">
        <v>101</v>
      </c>
      <c r="E14" s="46" t="s">
        <v>102</v>
      </c>
    </row>
    <row r="16" customFormat="false" ht="19.5" hidden="false" customHeight="true" outlineLevel="0" collapsed="false">
      <c r="B16" s="17" t="s">
        <v>103</v>
      </c>
      <c r="C16" s="17"/>
      <c r="D16" s="17"/>
      <c r="E16" s="17"/>
    </row>
    <row r="17" customFormat="false" ht="15.75" hidden="false" customHeight="true" outlineLevel="0" collapsed="false">
      <c r="B17" s="48" t="s">
        <v>104</v>
      </c>
      <c r="C17" s="48"/>
      <c r="D17" s="48"/>
      <c r="E17" s="48"/>
    </row>
    <row r="18" customFormat="false" ht="15.75" hidden="false" customHeight="true" outlineLevel="0" collapsed="false">
      <c r="B18" s="48" t="s">
        <v>105</v>
      </c>
      <c r="C18" s="48"/>
      <c r="D18" s="48"/>
      <c r="E18" s="48"/>
    </row>
    <row r="19" customFormat="false" ht="15.75" hidden="false" customHeight="true" outlineLevel="0" collapsed="false">
      <c r="B19" s="48" t="s">
        <v>106</v>
      </c>
      <c r="C19" s="48"/>
      <c r="D19" s="48"/>
      <c r="E19" s="48"/>
    </row>
    <row r="20" customFormat="false" ht="15.75" hidden="false" customHeight="true" outlineLevel="0" collapsed="false">
      <c r="B20" s="48" t="s">
        <v>107</v>
      </c>
      <c r="C20" s="48"/>
      <c r="D20" s="48"/>
      <c r="E20" s="48"/>
    </row>
    <row r="21" customFormat="false" ht="15.75" hidden="false" customHeight="true" outlineLevel="0" collapsed="false">
      <c r="B21" s="48" t="s">
        <v>108</v>
      </c>
      <c r="C21" s="48"/>
      <c r="D21" s="48"/>
      <c r="E21" s="48"/>
    </row>
    <row r="22" customFormat="false" ht="15.75" hidden="false" customHeight="true" outlineLevel="0" collapsed="false">
      <c r="B22" s="48" t="s">
        <v>109</v>
      </c>
      <c r="C22" s="48"/>
      <c r="D22" s="48"/>
      <c r="E22" s="48"/>
    </row>
    <row r="23" customFormat="false" ht="15.75" hidden="false" customHeight="true" outlineLevel="0" collapsed="false">
      <c r="B23" s="48" t="s">
        <v>110</v>
      </c>
      <c r="C23" s="48"/>
      <c r="D23" s="48"/>
      <c r="E23" s="48"/>
    </row>
    <row r="25" customFormat="false" ht="19.5" hidden="false" customHeight="true" outlineLevel="0" collapsed="false">
      <c r="B25" s="43" t="s">
        <v>111</v>
      </c>
      <c r="C25" s="43"/>
      <c r="D25" s="43"/>
      <c r="E25" s="43"/>
    </row>
  </sheetData>
  <mergeCells count="12">
    <mergeCell ref="B2:E2"/>
    <mergeCell ref="B3:E3"/>
    <mergeCell ref="B6:E6"/>
    <mergeCell ref="B16:E16"/>
    <mergeCell ref="B17:E17"/>
    <mergeCell ref="B18:E18"/>
    <mergeCell ref="B19:E19"/>
    <mergeCell ref="B20:E20"/>
    <mergeCell ref="B21:E21"/>
    <mergeCell ref="B22:E22"/>
    <mergeCell ref="B23:E23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2026-03-07T23:39:03Z</dcterms:created>
  <dc:creator>openpyxl</dc:creator>
  <dc:description/>
  <dc:language>en-US</dc:language>
  <cp:lastModifiedBy/>
  <dcterms:modified xsi:type="dcterms:W3CDTF">2026-03-07T23:39:39Z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